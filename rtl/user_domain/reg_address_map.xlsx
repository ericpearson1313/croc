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p\croc\rtl\user_domain\"/>
    </mc:Choice>
  </mc:AlternateContent>
  <xr:revisionPtr revIDLastSave="0" documentId="13_ncr:1_{191E4983-81C2-4C8B-9883-B68A07E2F833}" xr6:coauthVersionLast="47" xr6:coauthVersionMax="47" xr10:uidLastSave="{00000000-0000-0000-0000-000000000000}"/>
  <bookViews>
    <workbookView xWindow="19090" yWindow="-9670" windowWidth="38620" windowHeight="21100" xr2:uid="{CCB46CB1-C430-44BE-A5E2-4295C43B14BB}"/>
  </bookViews>
  <sheets>
    <sheet name="ascom regs" sheetId="3" r:id="rId1"/>
    <sheet name="State Diagram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</calcChain>
</file>

<file path=xl/sharedStrings.xml><?xml version="1.0" encoding="utf-8"?>
<sst xmlns="http://schemas.openxmlformats.org/spreadsheetml/2006/main" count="121" uniqueCount="104">
  <si>
    <t>R</t>
  </si>
  <si>
    <t>Bit</t>
  </si>
  <si>
    <t>Addr</t>
  </si>
  <si>
    <t>Status</t>
  </si>
  <si>
    <t>eoo</t>
  </si>
  <si>
    <t>done</t>
  </si>
  <si>
    <t>Key</t>
  </si>
  <si>
    <t>R/W</t>
  </si>
  <si>
    <t>bdi_type</t>
  </si>
  <si>
    <t>eoi</t>
  </si>
  <si>
    <t>eot</t>
  </si>
  <si>
    <t>Magic</t>
  </si>
  <si>
    <t>BDO type</t>
  </si>
  <si>
    <t>0xDADDE0E0</t>
  </si>
  <si>
    <t>Low Level</t>
  </si>
  <si>
    <t>W</t>
  </si>
  <si>
    <t>ASCON_CTRL</t>
  </si>
  <si>
    <t>Mode</t>
  </si>
  <si>
    <t>auth_cmd</t>
  </si>
  <si>
    <t>auth_dma</t>
  </si>
  <si>
    <t>auth_dev</t>
  </si>
  <si>
    <t>bdo_cmd</t>
  </si>
  <si>
    <t>bdo_dma</t>
  </si>
  <si>
    <t>bdo_dev</t>
  </si>
  <si>
    <t>auth data debug</t>
  </si>
  <si>
    <t>Auth addr</t>
  </si>
  <si>
    <t>Auth Debug</t>
  </si>
  <si>
    <t>BDO addr</t>
  </si>
  <si>
    <t>BDO Debug</t>
  </si>
  <si>
    <t>auth</t>
  </si>
  <si>
    <t>BDO</t>
  </si>
  <si>
    <t>BDO debug</t>
  </si>
  <si>
    <t>cmd_dev</t>
  </si>
  <si>
    <t>cmd_dma</t>
  </si>
  <si>
    <t>cmd_cmd</t>
  </si>
  <si>
    <t>Cmd</t>
  </si>
  <si>
    <t>CMD Addr</t>
  </si>
  <si>
    <t>cmd_read_data 0</t>
  </si>
  <si>
    <t>cmd_read_data 1</t>
  </si>
  <si>
    <t>cmd_read_data 2</t>
  </si>
  <si>
    <t>Key addr</t>
  </si>
  <si>
    <t>key_dev</t>
  </si>
  <si>
    <t>key_dma</t>
  </si>
  <si>
    <t>key_cmd</t>
  </si>
  <si>
    <t>bdi_dev</t>
  </si>
  <si>
    <t>bdi_dma</t>
  </si>
  <si>
    <t>bdi_cmd</t>
  </si>
  <si>
    <t>BDI addr</t>
  </si>
  <si>
    <t>Length</t>
  </si>
  <si>
    <t>BDI</t>
  </si>
  <si>
    <t>ASCON_MODE</t>
  </si>
  <si>
    <t xml:space="preserve">    printf("Encode test\n");</t>
  </si>
  <si>
    <t xml:space="preserve">    hw_reg[REG_CONTROL] = 0;</t>
  </si>
  <si>
    <t xml:space="preserve">    hw_reg[REG_KEY    ] = (long)key; // send a key before starting enc</t>
  </si>
  <si>
    <t xml:space="preserve">    while( ( hw_reg[REG_STATUS] &amp; STATUS_KEY_DMA ) == 0  ); // wait for key data to start</t>
  </si>
  <si>
    <t xml:space="preserve">    hw_reg[REG_MODE] = MODE_ENC; // put into encode mode</t>
  </si>
  <si>
    <t xml:space="preserve">    while( ( hw_reg[REG_STATUS] &amp; STATUS_KEY_CMD ) == 0  ); // wait for key cmd complete</t>
  </si>
  <si>
    <t xml:space="preserve">    hw_reg[REG_LENGTH ] = 16 ; // set nonce length</t>
  </si>
  <si>
    <t xml:space="preserve">    hw_reg[REG_CONTROL] = BDI_EOT + BDI_TYPE_NONCE;  // set to 1 message nonce</t>
  </si>
  <si>
    <t xml:space="preserve">    hw_reg[REG_BDI    ] = (long)npub; // send nonce via bdi</t>
  </si>
  <si>
    <t xml:space="preserve">    while( ( hw_reg[REG_STATUS] &amp; STATUS_BDI_CMD ) == 0  ); // wait for nonce bdi to complete</t>
  </si>
  <si>
    <t xml:space="preserve">    hw_reg[REG_LENGTH ] = 9; // set ad length</t>
  </si>
  <si>
    <t xml:space="preserve">    hw_reg[REG_CONTROL] = BDI_EOT + BDI_TYPE_AD; // set to AS</t>
  </si>
  <si>
    <t xml:space="preserve">    hw_reg[REG_BDI    ] = (long)ad; // send ad via bdi</t>
  </si>
  <si>
    <t xml:space="preserve">    while( ( hw_reg[REG_STATUS] &amp; STATUS_BDI_CMD ) == 0  ); // wait for bdi send</t>
  </si>
  <si>
    <t xml:space="preserve">    hw_reg[REG_LENGTH ] = 9; // set msg length</t>
  </si>
  <si>
    <t xml:space="preserve">    hw_reg[REG_CONTROL] = BDI_LIO + BDI_EOT + BDI_EOI + BDI_TYPE_MSG; // Set to msg type, last input, link in-out</t>
  </si>
  <si>
    <t xml:space="preserve">    hw_reg[REG_BDO    ] = (long)pt; // start BDO write</t>
  </si>
  <si>
    <t xml:space="preserve">    hw_reg[REG_BDI    ] = (long)pt; // start BDI</t>
  </si>
  <si>
    <t xml:space="preserve">    while( ( hw_reg[REG_STATUS] &amp; STATUS_BDI_CMD ) == 0  ); // wait BDI complete</t>
  </si>
  <si>
    <t xml:space="preserve">    while( ( hw_reg[REG_STATUS] &amp; STATUS_BDO_CMD ) == 0  ); // wait BDO complete</t>
  </si>
  <si>
    <t xml:space="preserve">    hw_reg[REG_CONTROL] = 0; // turn off LIO </t>
  </si>
  <si>
    <t xml:space="preserve">    hw_reg[REG_LENGTH ] = 16; // set tag length (128 bits fixed)</t>
  </si>
  <si>
    <t xml:space="preserve">    hw_reg[REG_BDO    ] = (long)tag; // start BDO for tag</t>
  </si>
  <si>
    <t xml:space="preserve">    while( ( hw_reg[REG_STATUS] &amp; STATUS_BDO_CMD ) == 0  ); // wait for BDO write complete</t>
  </si>
  <si>
    <t xml:space="preserve">    while( ( hw_reg[REG_STATUS] &amp; STATUS_DONE ) == 0  ); // wait/confirm cipher is done</t>
  </si>
  <si>
    <t xml:space="preserve">    printf("Done\n");</t>
  </si>
  <si>
    <t>WAIT_KEY_DONE</t>
  </si>
  <si>
    <t>WAIT_KEY_DATA</t>
  </si>
  <si>
    <t>MODE ENCODE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</si>
  <si>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</si>
  <si>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</si>
  <si>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</si>
  <si>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</si>
  <si>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</si>
  <si>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</si>
  <si>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</si>
  <si>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</si>
  <si>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</si>
  <si>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WAIT BDI DONE</t>
  </si>
  <si>
    <t>WAIT CMD ADDR</t>
  </si>
  <si>
    <t>WAIT BDO DONE</t>
  </si>
  <si>
    <t>BDI_TYPE = MSG, EOI, EOT, LOI</t>
  </si>
  <si>
    <t>BDI_TYPE = 0 // turn off LOI</t>
  </si>
  <si>
    <t>WAIT ASCON DONE</t>
  </si>
  <si>
    <t>SEND KEY (read_next(), 16)</t>
  </si>
  <si>
    <t>LATCH ad_len, msg_len</t>
  </si>
  <si>
    <t>SEND BDI (read_next(), 16) // nonce</t>
  </si>
  <si>
    <t>SEND BDI (read_next, ad_len) // ad</t>
  </si>
  <si>
    <t>RECV BDO(read_next, 16) // tag (signature)</t>
  </si>
  <si>
    <t>BDI_TYPE = NONCE, EOT, EOI = ( ad_len==0 &amp;&amp; msg_len==0)</t>
  </si>
  <si>
    <t>BDI_TYPE = AD, EOT, EOI = ( msg_len == 0 )</t>
  </si>
  <si>
    <t>RECV BDO(read_next, ,sg_len) // msg ct</t>
  </si>
  <si>
    <t>SEND BDI (read_next, msg_len) // msg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</si>
</sst>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9" xfId="0" applyBorder="1" applyAlignment="1">
      <alignment horizontal="right" vertical="center" textRotation="45"/>
    </xf>
    <xf numFmtId="0" fontId="1" fillId="2" borderId="9" xfId="1" applyBorder="1" applyAlignment="1">
      <alignment horizontal="right" textRotation="45"/>
    </xf>
    <xf numFmtId="0" fontId="1" fillId="2" borderId="9" xfId="1" applyBorder="1" applyAlignment="1">
      <alignment horizontal="right" vertical="center" textRotation="45"/>
    </xf>
    <xf numFmtId="0" fontId="0" fillId="0" borderId="10" xfId="0" applyBorder="1" applyAlignment="1">
      <alignment horizontal="right" vertical="center" textRotation="45"/>
    </xf>
    <xf numFmtId="0" fontId="0" fillId="0" borderId="11" xfId="0" applyBorder="1" applyAlignment="1">
      <alignment horizontal="right" vertical="center" textRotation="45"/>
    </xf>
    <xf numFmtId="0" fontId="0" fillId="0" borderId="6" xfId="0" applyBorder="1" applyAlignment="1">
      <alignment horizontal="right" vertical="center" textRotation="45"/>
    </xf>
    <xf numFmtId="0" fontId="0" fillId="0" borderId="0" xfId="0" applyAlignment="1">
      <alignment horizontal="right" vertical="center" textRotation="45"/>
    </xf>
    <xf numFmtId="0" fontId="0" fillId="0" borderId="0" xfId="0" applyAlignment="1">
      <alignment horizontal="right" textRotation="45"/>
    </xf>
    <xf numFmtId="0" fontId="0" fillId="0" borderId="7" xfId="0" applyBorder="1" applyAlignment="1">
      <alignment horizontal="right" vertical="center" textRotation="45"/>
    </xf>
    <xf numFmtId="0" fontId="0" fillId="0" borderId="3" xfId="0" applyBorder="1" applyAlignment="1">
      <alignment horizontal="right" vertical="center" textRotation="45"/>
    </xf>
    <xf numFmtId="0" fontId="0" fillId="0" borderId="4" xfId="0" applyBorder="1" applyAlignment="1">
      <alignment horizontal="right" vertical="center" textRotation="45"/>
    </xf>
    <xf numFmtId="0" fontId="0" fillId="0" borderId="4" xfId="0" applyBorder="1" applyAlignment="1">
      <alignment horizontal="right" textRotation="45"/>
    </xf>
    <xf numFmtId="0" fontId="0" fillId="0" borderId="5" xfId="0" applyBorder="1" applyAlignment="1">
      <alignment horizontal="right" vertical="center" textRotation="45"/>
    </xf>
    <xf numFmtId="0" fontId="1" fillId="0" borderId="4" xfId="1" applyFill="1" applyBorder="1" applyAlignment="1">
      <alignment horizontal="right" textRotation="45"/>
    </xf>
    <xf numFmtId="0" fontId="1" fillId="0" borderId="4" xfId="1" applyFill="1" applyBorder="1" applyAlignment="1">
      <alignment horizontal="right" vertical="center" textRotation="45"/>
    </xf>
    <xf numFmtId="0" fontId="1" fillId="0" borderId="0" xfId="1" applyFill="1" applyBorder="1" applyAlignment="1">
      <alignment horizontal="right" textRotation="45"/>
    </xf>
    <xf numFmtId="0" fontId="1" fillId="0" borderId="0" xfId="1" applyFill="1" applyBorder="1" applyAlignment="1">
      <alignment horizontal="right" vertical="center" textRotation="45"/>
    </xf>
    <xf numFmtId="0" fontId="0" fillId="0" borderId="8" xfId="0" applyBorder="1" applyAlignment="1">
      <alignment horizontal="right" vertical="center" textRotation="45"/>
    </xf>
    <xf numFmtId="0" fontId="0" fillId="0" borderId="1" xfId="0" applyBorder="1" applyAlignment="1">
      <alignment horizontal="right" vertical="center" textRotation="45"/>
    </xf>
    <xf numFmtId="0" fontId="0" fillId="0" borderId="1" xfId="0" applyBorder="1" applyAlignment="1">
      <alignment horizontal="right" textRotation="45"/>
    </xf>
    <xf numFmtId="0" fontId="0" fillId="0" borderId="5" xfId="0" applyBorder="1" applyAlignment="1">
      <alignment horizontal="right" textRotation="45"/>
    </xf>
    <xf numFmtId="0" fontId="0" fillId="0" borderId="1" xfId="0" applyBorder="1"/>
    <xf numFmtId="0" fontId="0" fillId="0" borderId="3" xfId="0" applyBorder="1" applyAlignment="1">
      <alignment horizontal="left" vertical="center"/>
    </xf>
    <xf numFmtId="0" fontId="2" fillId="3" borderId="0" xfId="2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411B4-AC10-4687-8FBB-8E12CC2C98F0}" name="Table1" displayName="Table1" ref="B4:J34" totalsRowShown="0">
  <autoFilter ref="B4:J34" xr:uid="{352411B4-AC10-4687-8FBB-8E12CC2C98F0}"/>
  <tableColumns count="9">
    <tableColumn id="1" xr3:uid="{6EF46EA7-CD5F-4ADB-A4D6-50B0BA816CDC}" name="Column1"/>
    <tableColumn id="2" xr3:uid="{E7123E65-A6DC-4933-AE27-AAEF1544F2E4}" name="Column2"/>
    <tableColumn id="3" xr3:uid="{CEF05FA4-FD14-4862-9AFE-8CA39D817AA6}" name="Column3"/>
    <tableColumn id="4" xr3:uid="{9F795AA5-3125-44F7-88C1-29F7E338C0AC}" name="Column4"/>
    <tableColumn id="5" xr3:uid="{8E5306FF-4FDE-42A2-9DCD-77048D76DDC4}" name="Column5"/>
    <tableColumn id="6" xr3:uid="{85EDF337-22A5-42A5-8820-B057CF467E32}" name="Column6"/>
    <tableColumn id="7" xr3:uid="{A35395E3-0479-4DE0-917D-BFA3F745E486}" name="Column7"/>
    <tableColumn id="8" xr3:uid="{5E3F9508-56E7-4EB8-AC77-55364EB1A655}" name="Column8"/>
    <tableColumn id="9" xr3:uid="{E4293814-B054-4AA7-BA05-500586688C15}" name="Column9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60D2-D720-4AFC-80B7-9351B49089D5}">
  <dimension ref="B3:AJ19"/>
  <sheetViews>
    <sheetView tabSelected="1" zoomScale="160" zoomScaleNormal="160" workbookViewId="0">
      <selection activeCell="B35" sqref="B35"/>
    </sheetView>
  </sheetViews>
  <sheetFormatPr defaultRowHeight="14.5" x14ac:dyDescent="0.35"/>
  <cols>
    <col min="2" max="2" width="15.81640625" customWidth="1"/>
    <col min="3" max="4" width="8.7265625" style="1"/>
    <col min="5" max="5" width="5.54296875" customWidth="1"/>
    <col min="6" max="23" width="2.81640625" customWidth="1"/>
    <col min="24" max="24" width="3.7265625" customWidth="1"/>
    <col min="25" max="30" width="2.81640625" customWidth="1"/>
    <col min="31" max="31" width="4.6328125" customWidth="1"/>
    <col min="32" max="32" width="4.36328125" customWidth="1"/>
    <col min="33" max="34" width="2.81640625" customWidth="1"/>
    <col min="35" max="35" width="3.36328125" customWidth="1"/>
    <col min="36" max="36" width="3.6328125" customWidth="1"/>
  </cols>
  <sheetData>
    <row r="3" spans="2:36" x14ac:dyDescent="0.35">
      <c r="D3" s="1">
        <v>0</v>
      </c>
      <c r="E3" t="s">
        <v>1</v>
      </c>
    </row>
    <row r="4" spans="2:36" x14ac:dyDescent="0.35">
      <c r="B4" t="s">
        <v>14</v>
      </c>
      <c r="D4" s="1" t="s">
        <v>2</v>
      </c>
      <c r="E4">
        <v>31</v>
      </c>
      <c r="F4">
        <f>E4-1</f>
        <v>30</v>
      </c>
      <c r="G4">
        <f t="shared" ref="G4:AJ4" si="0">F4-1</f>
        <v>29</v>
      </c>
      <c r="H4">
        <f t="shared" si="0"/>
        <v>28</v>
      </c>
      <c r="I4">
        <f t="shared" si="0"/>
        <v>27</v>
      </c>
      <c r="J4">
        <f t="shared" si="0"/>
        <v>26</v>
      </c>
      <c r="K4">
        <f t="shared" si="0"/>
        <v>25</v>
      </c>
      <c r="L4">
        <f t="shared" si="0"/>
        <v>24</v>
      </c>
      <c r="M4">
        <f t="shared" si="0"/>
        <v>23</v>
      </c>
      <c r="N4">
        <f t="shared" si="0"/>
        <v>22</v>
      </c>
      <c r="O4">
        <f t="shared" si="0"/>
        <v>21</v>
      </c>
      <c r="P4">
        <f t="shared" si="0"/>
        <v>20</v>
      </c>
      <c r="Q4">
        <f t="shared" si="0"/>
        <v>19</v>
      </c>
      <c r="R4">
        <f t="shared" si="0"/>
        <v>18</v>
      </c>
      <c r="S4">
        <f t="shared" si="0"/>
        <v>17</v>
      </c>
      <c r="T4">
        <f t="shared" si="0"/>
        <v>16</v>
      </c>
      <c r="U4">
        <f t="shared" si="0"/>
        <v>15</v>
      </c>
      <c r="V4">
        <f t="shared" si="0"/>
        <v>14</v>
      </c>
      <c r="W4">
        <f t="shared" si="0"/>
        <v>13</v>
      </c>
      <c r="X4">
        <f t="shared" si="0"/>
        <v>12</v>
      </c>
      <c r="Y4">
        <f t="shared" si="0"/>
        <v>11</v>
      </c>
      <c r="Z4">
        <f t="shared" si="0"/>
        <v>10</v>
      </c>
      <c r="AA4">
        <f t="shared" si="0"/>
        <v>9</v>
      </c>
      <c r="AB4">
        <f t="shared" si="0"/>
        <v>8</v>
      </c>
      <c r="AC4">
        <f t="shared" si="0"/>
        <v>7</v>
      </c>
      <c r="AD4">
        <f t="shared" si="0"/>
        <v>6</v>
      </c>
      <c r="AE4">
        <f t="shared" si="0"/>
        <v>5</v>
      </c>
      <c r="AF4">
        <f t="shared" si="0"/>
        <v>4</v>
      </c>
      <c r="AG4">
        <f t="shared" si="0"/>
        <v>3</v>
      </c>
      <c r="AH4">
        <f t="shared" si="0"/>
        <v>2</v>
      </c>
      <c r="AI4">
        <f t="shared" si="0"/>
        <v>1</v>
      </c>
      <c r="AJ4">
        <f t="shared" si="0"/>
        <v>0</v>
      </c>
    </row>
    <row r="5" spans="2:36" x14ac:dyDescent="0.35">
      <c r="B5" t="s">
        <v>11</v>
      </c>
      <c r="C5" s="1" t="s">
        <v>0</v>
      </c>
      <c r="D5" s="1">
        <v>0</v>
      </c>
      <c r="E5" s="2"/>
      <c r="F5" s="3"/>
      <c r="G5" s="3"/>
      <c r="H5" s="3"/>
      <c r="I5" s="3"/>
      <c r="J5" s="3"/>
      <c r="K5" s="3"/>
      <c r="L5" s="3" t="s">
        <v>13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</row>
    <row r="6" spans="2:36" x14ac:dyDescent="0.35">
      <c r="B6" t="s">
        <v>36</v>
      </c>
      <c r="C6" s="1" t="s">
        <v>15</v>
      </c>
      <c r="D6" s="1">
        <v>1</v>
      </c>
      <c r="E6" s="15"/>
      <c r="F6" s="16"/>
      <c r="G6" s="17"/>
      <c r="H6" s="17"/>
      <c r="I6" s="16"/>
      <c r="J6" s="16"/>
      <c r="K6" s="16"/>
      <c r="L6" s="16"/>
      <c r="M6" s="16"/>
      <c r="N6" s="16"/>
      <c r="O6" s="16"/>
      <c r="P6" s="16"/>
      <c r="Q6" s="16"/>
      <c r="R6" s="3" t="s">
        <v>35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9"/>
      <c r="AF6" s="19"/>
      <c r="AG6" s="20"/>
      <c r="AH6" s="16"/>
      <c r="AI6" s="16"/>
      <c r="AJ6" s="18"/>
    </row>
    <row r="7" spans="2:36" x14ac:dyDescent="0.35">
      <c r="B7" t="s">
        <v>37</v>
      </c>
      <c r="C7" s="1" t="s">
        <v>0</v>
      </c>
      <c r="D7" s="1">
        <v>1</v>
      </c>
      <c r="E7" s="15"/>
      <c r="F7" s="16"/>
      <c r="G7" s="17"/>
      <c r="H7" s="17"/>
      <c r="I7" s="16"/>
      <c r="J7" s="16"/>
      <c r="K7" s="16"/>
      <c r="L7" s="16"/>
      <c r="M7" s="16"/>
      <c r="N7" s="16"/>
      <c r="O7" s="16"/>
      <c r="P7" s="16"/>
      <c r="Q7" s="1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19"/>
      <c r="AF7" s="19"/>
      <c r="AG7" s="20"/>
      <c r="AH7" s="16"/>
      <c r="AI7" s="16"/>
      <c r="AJ7" s="18"/>
    </row>
    <row r="8" spans="2:36" x14ac:dyDescent="0.35">
      <c r="B8" t="s">
        <v>38</v>
      </c>
      <c r="C8" s="1" t="s">
        <v>0</v>
      </c>
      <c r="D8" s="1">
        <v>2</v>
      </c>
      <c r="E8" s="15"/>
      <c r="F8" s="16"/>
      <c r="G8" s="17"/>
      <c r="H8" s="17"/>
      <c r="I8" s="16"/>
      <c r="J8" s="16"/>
      <c r="K8" s="16"/>
      <c r="L8" s="16"/>
      <c r="M8" s="16"/>
      <c r="N8" s="16"/>
      <c r="O8" s="16"/>
      <c r="P8" s="16"/>
      <c r="Q8" s="1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19"/>
      <c r="AF8" s="19"/>
      <c r="AG8" s="20"/>
      <c r="AH8" s="16"/>
      <c r="AI8" s="16"/>
      <c r="AJ8" s="18"/>
    </row>
    <row r="9" spans="2:36" x14ac:dyDescent="0.35">
      <c r="B9" t="s">
        <v>39</v>
      </c>
      <c r="C9" s="1" t="s">
        <v>0</v>
      </c>
      <c r="D9" s="1">
        <v>3</v>
      </c>
      <c r="E9" s="11"/>
      <c r="F9" s="12"/>
      <c r="G9" s="13"/>
      <c r="H9" s="13"/>
      <c r="I9" s="12"/>
      <c r="J9" s="12"/>
      <c r="K9" s="12"/>
      <c r="L9" s="12"/>
      <c r="M9" s="12"/>
      <c r="N9" s="12"/>
      <c r="O9" s="12"/>
      <c r="P9" s="12"/>
      <c r="Q9" s="12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1"/>
      <c r="AF9" s="21"/>
      <c r="AG9" s="22"/>
      <c r="AH9" s="12"/>
      <c r="AI9" s="12"/>
      <c r="AJ9" s="14"/>
    </row>
    <row r="10" spans="2:36" x14ac:dyDescent="0.35">
      <c r="B10" t="s">
        <v>48</v>
      </c>
      <c r="C10" s="1" t="s">
        <v>7</v>
      </c>
      <c r="D10" s="1">
        <v>4</v>
      </c>
      <c r="E10" s="15"/>
      <c r="F10" s="16"/>
      <c r="G10" s="17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3" t="s">
        <v>48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9"/>
      <c r="AF10" s="19"/>
      <c r="AG10" s="20"/>
      <c r="AH10" s="16"/>
      <c r="AI10" s="16"/>
      <c r="AJ10" s="18"/>
    </row>
    <row r="11" spans="2:36" x14ac:dyDescent="0.35">
      <c r="B11" t="s">
        <v>25</v>
      </c>
      <c r="C11" s="1" t="s">
        <v>15</v>
      </c>
      <c r="D11" s="1">
        <v>5</v>
      </c>
      <c r="E11" s="23"/>
      <c r="F11" s="24"/>
      <c r="G11" s="25"/>
      <c r="H11" s="25"/>
      <c r="I11" s="16"/>
      <c r="J11" s="16"/>
      <c r="K11" s="16"/>
      <c r="L11" s="16"/>
      <c r="M11" s="16"/>
      <c r="N11" s="16"/>
      <c r="O11" s="24"/>
      <c r="P11" s="24"/>
      <c r="Q11" s="16"/>
      <c r="R11" s="3" t="s">
        <v>29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19"/>
      <c r="AF11" s="19"/>
      <c r="AG11" s="20"/>
      <c r="AH11" s="16"/>
      <c r="AI11" s="16"/>
      <c r="AJ11" s="18"/>
    </row>
    <row r="12" spans="2:36" x14ac:dyDescent="0.35">
      <c r="B12" t="s">
        <v>26</v>
      </c>
      <c r="C12" s="1" t="s">
        <v>15</v>
      </c>
      <c r="D12" s="1">
        <v>6</v>
      </c>
      <c r="E12" s="15"/>
      <c r="F12" s="16"/>
      <c r="G12" s="17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3" t="s">
        <v>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19"/>
      <c r="AF12" s="19"/>
      <c r="AG12" s="20"/>
      <c r="AH12" s="16"/>
      <c r="AI12" s="16"/>
      <c r="AJ12" s="18"/>
    </row>
    <row r="13" spans="2:36" ht="46" x14ac:dyDescent="0.35">
      <c r="B13" t="s">
        <v>3</v>
      </c>
      <c r="C13" s="1" t="s">
        <v>0</v>
      </c>
      <c r="D13" s="1">
        <v>6</v>
      </c>
      <c r="E13" s="28" t="s">
        <v>12</v>
      </c>
      <c r="F13" s="16"/>
      <c r="G13" s="17"/>
      <c r="H13" s="26"/>
      <c r="I13" s="10"/>
      <c r="J13" s="6" t="s">
        <v>29</v>
      </c>
      <c r="K13" s="6" t="s">
        <v>5</v>
      </c>
      <c r="L13" s="6"/>
      <c r="M13" s="6"/>
      <c r="N13" s="9"/>
      <c r="O13" s="16"/>
      <c r="P13" s="16"/>
      <c r="Q13" s="10"/>
      <c r="R13" s="6" t="s">
        <v>44</v>
      </c>
      <c r="S13" s="6" t="s">
        <v>45</v>
      </c>
      <c r="T13" s="6" t="s">
        <v>46</v>
      </c>
      <c r="V13" s="7" t="s">
        <v>41</v>
      </c>
      <c r="W13" s="7" t="s">
        <v>42</v>
      </c>
      <c r="X13" s="8" t="s">
        <v>43</v>
      </c>
      <c r="Z13" s="6" t="s">
        <v>32</v>
      </c>
      <c r="AA13" s="6" t="s">
        <v>33</v>
      </c>
      <c r="AB13" s="6" t="s">
        <v>34</v>
      </c>
      <c r="AD13" s="7" t="s">
        <v>23</v>
      </c>
      <c r="AE13" s="7" t="s">
        <v>22</v>
      </c>
      <c r="AF13" s="8" t="s">
        <v>21</v>
      </c>
      <c r="AH13" s="6" t="s">
        <v>20</v>
      </c>
      <c r="AI13" s="6" t="s">
        <v>19</v>
      </c>
      <c r="AJ13" s="6" t="s">
        <v>18</v>
      </c>
    </row>
    <row r="14" spans="2:36" x14ac:dyDescent="0.35">
      <c r="B14" t="s">
        <v>40</v>
      </c>
      <c r="C14" s="1" t="s">
        <v>15</v>
      </c>
      <c r="D14" s="1">
        <v>7</v>
      </c>
      <c r="E14" s="15"/>
      <c r="F14" s="16"/>
      <c r="G14" s="17"/>
      <c r="H14" s="17"/>
      <c r="I14" s="16"/>
      <c r="J14" s="16"/>
      <c r="K14" s="16"/>
      <c r="L14" s="16"/>
      <c r="M14" s="16"/>
      <c r="N14" s="16"/>
      <c r="O14" s="16"/>
      <c r="P14" s="16"/>
      <c r="Q14" s="16"/>
      <c r="R14" s="3" t="s">
        <v>6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19"/>
      <c r="AF14" s="19"/>
      <c r="AG14" s="20"/>
      <c r="AH14" s="16"/>
      <c r="AI14" s="16"/>
      <c r="AJ14" s="18"/>
    </row>
    <row r="15" spans="2:36" x14ac:dyDescent="0.35">
      <c r="B15" t="s">
        <v>27</v>
      </c>
      <c r="C15" s="1" t="s">
        <v>15</v>
      </c>
      <c r="D15" s="1">
        <v>9</v>
      </c>
      <c r="E15" s="15"/>
      <c r="F15" s="16"/>
      <c r="G15" s="17"/>
      <c r="H15" s="17"/>
      <c r="I15" s="16"/>
      <c r="J15" s="16"/>
      <c r="K15" s="16"/>
      <c r="L15" s="16"/>
      <c r="M15" s="16"/>
      <c r="N15" s="16"/>
      <c r="O15" s="16"/>
      <c r="P15" s="16"/>
      <c r="Q15" s="16"/>
      <c r="R15" s="3" t="s">
        <v>30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9"/>
      <c r="AF15" s="19"/>
      <c r="AG15" s="20"/>
      <c r="AH15" s="16"/>
      <c r="AI15" s="16"/>
      <c r="AJ15" s="18"/>
    </row>
    <row r="16" spans="2:36" x14ac:dyDescent="0.35">
      <c r="B16" t="s">
        <v>28</v>
      </c>
      <c r="C16" s="1" t="s">
        <v>15</v>
      </c>
      <c r="D16" s="1">
        <v>10</v>
      </c>
      <c r="E16" s="15"/>
      <c r="F16" s="16"/>
      <c r="G16" s="17"/>
      <c r="H16" s="17"/>
      <c r="I16" s="16"/>
      <c r="J16" s="16"/>
      <c r="K16" s="16"/>
      <c r="L16" s="16"/>
      <c r="M16" s="16"/>
      <c r="N16" s="16"/>
      <c r="O16" s="16"/>
      <c r="P16" s="16"/>
      <c r="Q16" s="16"/>
      <c r="R16" s="3" t="s">
        <v>31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9"/>
      <c r="AF16" s="19"/>
      <c r="AG16" s="20"/>
      <c r="AH16" s="16"/>
      <c r="AI16" s="16"/>
      <c r="AJ16" s="18"/>
    </row>
    <row r="17" spans="2:36" x14ac:dyDescent="0.35">
      <c r="B17" t="s">
        <v>47</v>
      </c>
      <c r="C17" s="1" t="s">
        <v>15</v>
      </c>
      <c r="D17" s="1">
        <v>11</v>
      </c>
      <c r="E17" s="15"/>
      <c r="F17" s="16"/>
      <c r="G17" s="17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3" t="s">
        <v>49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9"/>
      <c r="AF17" s="19"/>
      <c r="AG17" s="20"/>
      <c r="AH17" s="16"/>
      <c r="AI17" s="16"/>
      <c r="AJ17" s="18"/>
    </row>
    <row r="18" spans="2:36" x14ac:dyDescent="0.35">
      <c r="B18" t="s">
        <v>16</v>
      </c>
      <c r="C18" s="1" t="s">
        <v>7</v>
      </c>
      <c r="D18" s="1">
        <v>13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5" t="s">
        <v>4</v>
      </c>
      <c r="AC18" s="3"/>
      <c r="AD18" s="3"/>
      <c r="AE18" s="2" t="s">
        <v>8</v>
      </c>
      <c r="AF18" s="3"/>
      <c r="AG18" s="3"/>
      <c r="AH18" s="4"/>
      <c r="AI18" s="5" t="s">
        <v>9</v>
      </c>
      <c r="AJ18" s="5" t="s">
        <v>10</v>
      </c>
    </row>
    <row r="19" spans="2:36" x14ac:dyDescent="0.35">
      <c r="B19" t="s">
        <v>50</v>
      </c>
      <c r="C19" s="1" t="s">
        <v>7</v>
      </c>
      <c r="D19" s="1">
        <v>14</v>
      </c>
      <c r="E19" s="15"/>
      <c r="F19" s="16"/>
      <c r="G19" s="17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19"/>
      <c r="AF19" s="19"/>
      <c r="AG19" s="2" t="s">
        <v>17</v>
      </c>
      <c r="AH19" s="3"/>
      <c r="AI19" s="3"/>
      <c r="AJ1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D002-1580-4B7D-B92D-915D0C8A379C}">
  <dimension ref="B4:J34"/>
  <sheetViews>
    <sheetView zoomScale="160" zoomScaleNormal="160" workbookViewId="0">
      <selection activeCell="D6" sqref="D6:G33"/>
    </sheetView>
  </sheetViews>
  <sheetFormatPr defaultRowHeight="14.5" x14ac:dyDescent="0.35"/>
  <cols>
    <col min="2" max="2" width="99.26953125" bestFit="1" customWidth="1"/>
    <col min="3" max="10" width="9" customWidth="1"/>
  </cols>
  <sheetData>
    <row r="4" spans="2:10" x14ac:dyDescent="0.35"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</row>
    <row r="5" spans="2:10" x14ac:dyDescent="0.35">
      <c r="B5" t="s">
        <v>51</v>
      </c>
    </row>
    <row r="6" spans="2:10" x14ac:dyDescent="0.35">
      <c r="B6" t="s">
        <v>52</v>
      </c>
      <c r="D6" t="s">
        <v>90</v>
      </c>
    </row>
    <row r="7" spans="2:10" x14ac:dyDescent="0.35">
      <c r="D7" t="s">
        <v>96</v>
      </c>
    </row>
    <row r="11" spans="2:10" x14ac:dyDescent="0.35">
      <c r="B11" t="s">
        <v>53</v>
      </c>
      <c r="D11" s="29" t="s">
        <v>95</v>
      </c>
      <c r="E11" s="29"/>
    </row>
    <row r="12" spans="2:10" x14ac:dyDescent="0.35">
      <c r="B12" t="s">
        <v>54</v>
      </c>
      <c r="D12" t="s">
        <v>78</v>
      </c>
    </row>
    <row r="13" spans="2:10" x14ac:dyDescent="0.35">
      <c r="B13" t="s">
        <v>55</v>
      </c>
      <c r="D13" t="s">
        <v>79</v>
      </c>
    </row>
    <row r="14" spans="2:10" x14ac:dyDescent="0.35">
      <c r="B14" t="s">
        <v>56</v>
      </c>
      <c r="D14" t="s">
        <v>77</v>
      </c>
    </row>
    <row r="15" spans="2:10" x14ac:dyDescent="0.35">
      <c r="B15" t="s">
        <v>57</v>
      </c>
    </row>
    <row r="16" spans="2:10" x14ac:dyDescent="0.35">
      <c r="B16" t="s">
        <v>58</v>
      </c>
      <c r="D16" t="s">
        <v>100</v>
      </c>
    </row>
    <row r="17" spans="2:4" x14ac:dyDescent="0.35">
      <c r="B17" t="s">
        <v>59</v>
      </c>
      <c r="D17" s="29" t="s">
        <v>97</v>
      </c>
    </row>
    <row r="18" spans="2:4" x14ac:dyDescent="0.35">
      <c r="B18" t="s">
        <v>60</v>
      </c>
      <c r="D18" t="s">
        <v>89</v>
      </c>
    </row>
    <row r="19" spans="2:4" x14ac:dyDescent="0.35">
      <c r="B19" t="s">
        <v>61</v>
      </c>
    </row>
    <row r="20" spans="2:4" x14ac:dyDescent="0.35">
      <c r="B20" t="s">
        <v>62</v>
      </c>
      <c r="D20" t="s">
        <v>101</v>
      </c>
    </row>
    <row r="21" spans="2:4" x14ac:dyDescent="0.35">
      <c r="B21" t="s">
        <v>63</v>
      </c>
      <c r="D21" s="29" t="s">
        <v>98</v>
      </c>
    </row>
    <row r="22" spans="2:4" x14ac:dyDescent="0.35">
      <c r="B22" t="s">
        <v>64</v>
      </c>
      <c r="D22" t="s">
        <v>89</v>
      </c>
    </row>
    <row r="23" spans="2:4" x14ac:dyDescent="0.35">
      <c r="B23" t="s">
        <v>65</v>
      </c>
    </row>
    <row r="24" spans="2:4" x14ac:dyDescent="0.35">
      <c r="B24" t="s">
        <v>66</v>
      </c>
      <c r="D24" t="s">
        <v>92</v>
      </c>
    </row>
    <row r="25" spans="2:4" x14ac:dyDescent="0.35">
      <c r="B25" t="s">
        <v>67</v>
      </c>
      <c r="D25" s="29" t="s">
        <v>102</v>
      </c>
    </row>
    <row r="26" spans="2:4" x14ac:dyDescent="0.35">
      <c r="B26" t="s">
        <v>68</v>
      </c>
      <c r="D26" s="29" t="s">
        <v>103</v>
      </c>
    </row>
    <row r="27" spans="2:4" x14ac:dyDescent="0.35">
      <c r="B27" t="s">
        <v>69</v>
      </c>
      <c r="D27" t="s">
        <v>89</v>
      </c>
    </row>
    <row r="28" spans="2:4" x14ac:dyDescent="0.35">
      <c r="B28" t="s">
        <v>70</v>
      </c>
      <c r="D28" t="s">
        <v>91</v>
      </c>
    </row>
    <row r="29" spans="2:4" x14ac:dyDescent="0.35">
      <c r="B29" t="s">
        <v>71</v>
      </c>
      <c r="D29" t="s">
        <v>93</v>
      </c>
    </row>
    <row r="30" spans="2:4" x14ac:dyDescent="0.35">
      <c r="B30" t="s">
        <v>72</v>
      </c>
    </row>
    <row r="31" spans="2:4" x14ac:dyDescent="0.35">
      <c r="B31" t="s">
        <v>73</v>
      </c>
      <c r="D31" s="29" t="s">
        <v>99</v>
      </c>
    </row>
    <row r="32" spans="2:4" x14ac:dyDescent="0.35">
      <c r="B32" t="s">
        <v>74</v>
      </c>
      <c r="D32" t="s">
        <v>91</v>
      </c>
    </row>
    <row r="33" spans="2:4" x14ac:dyDescent="0.35">
      <c r="B33" t="s">
        <v>75</v>
      </c>
      <c r="D33" t="s">
        <v>94</v>
      </c>
    </row>
    <row r="34" spans="2:4" x14ac:dyDescent="0.35">
      <c r="B34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ascom regs</vt:lpstr>
      <vt:lpstr>State Diagrams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pearson</dc:creator>
  <cp:lastModifiedBy>eric pearson</cp:lastModifiedBy>
  <cp:lastPrinted>2025-08-09T00:21:34Z</cp:lastPrinted>
  <dcterms:created xsi:type="dcterms:W3CDTF">2025-07-25T00:04:08Z</dcterms:created>
  <dcterms:modified xsi:type="dcterms:W3CDTF">2025-09-18T00:13:40Z</dcterms:modified>
</cp:coreProperties>
</file>